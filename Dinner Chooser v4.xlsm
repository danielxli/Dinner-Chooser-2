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workbookProtection lockStructure="1"/>
  <bookViews>
    <workbookView xWindow="240" yWindow="75" windowWidth="19155" windowHeight="8505"/>
  </bookViews>
  <sheets>
    <sheet name="Chooser" sheetId="1" r:id="rId1"/>
    <sheet name="Restaurant Lists" sheetId="3" r:id="rId2"/>
  </sheets>
  <definedNames>
    <definedName name="Z_715887F5_DB9E_4F26_B3CE_B926D22379B2_.wvu.Cols" localSheetId="0" hidden="1">Chooser!$G:$K</definedName>
  </definedNames>
  <calcPr calcId="125725"/>
  <customWorkbookViews>
    <customWorkbookView name="Default" guid="{715887F5-DB9E-4F26-B3CE-B926D22379B2}" maximized="1" xWindow="1" yWindow="1" windowWidth="1304" windowHeight="577" activeSheetId="1"/>
  </customWorkbookViews>
</workbook>
</file>

<file path=xl/calcChain.xml><?xml version="1.0" encoding="utf-8"?>
<calcChain xmlns="http://schemas.openxmlformats.org/spreadsheetml/2006/main">
  <c r="S16" i="1"/>
  <c r="R16"/>
  <c r="Q16"/>
  <c r="P16"/>
  <c r="O16"/>
  <c r="R3"/>
  <c r="O3"/>
  <c r="K4"/>
  <c r="H6"/>
  <c r="J6" s="1"/>
  <c r="I7" s="1"/>
  <c r="G6"/>
  <c r="I6" s="1"/>
  <c r="K6" l="1"/>
  <c r="H7"/>
  <c r="H8" s="1"/>
  <c r="H9" s="1"/>
  <c r="H10" s="1"/>
  <c r="J10" s="1"/>
  <c r="G7"/>
  <c r="K7" l="1"/>
  <c r="J7"/>
  <c r="G9"/>
  <c r="K9" s="1"/>
  <c r="G10"/>
  <c r="K10" s="1"/>
  <c r="J8"/>
  <c r="I9" s="1"/>
  <c r="G8"/>
  <c r="K8" s="1"/>
  <c r="J9"/>
  <c r="I10" s="1"/>
  <c r="D14" l="1"/>
  <c r="I8"/>
</calcChain>
</file>

<file path=xl/sharedStrings.xml><?xml version="1.0" encoding="utf-8"?>
<sst xmlns="http://schemas.openxmlformats.org/spreadsheetml/2006/main" count="52" uniqueCount="25">
  <si>
    <t>Dinner Chooser</t>
  </si>
  <si>
    <t>Enter up to 5 dinner options here:</t>
  </si>
  <si>
    <t>McDonalds</t>
  </si>
  <si>
    <t>Ranges</t>
  </si>
  <si>
    <t>Randomized</t>
  </si>
  <si>
    <t>One vote for...</t>
  </si>
  <si>
    <t>Number of votes required to win</t>
  </si>
  <si>
    <t>Votes</t>
  </si>
  <si>
    <t>P.F. Changs</t>
  </si>
  <si>
    <t>Chuck E. Cheese's</t>
  </si>
  <si>
    <t>Cleveland</t>
  </si>
  <si>
    <t>Pittsburgh</t>
  </si>
  <si>
    <t>Dallas</t>
  </si>
  <si>
    <t>Houston</t>
  </si>
  <si>
    <t>Lola</t>
  </si>
  <si>
    <t>Name</t>
  </si>
  <si>
    <t>Location</t>
  </si>
  <si>
    <t>Yelp Rating</t>
  </si>
  <si>
    <t>Downtown</t>
  </si>
  <si>
    <t>$$$</t>
  </si>
  <si>
    <t>Team Rating</t>
  </si>
  <si>
    <r>
      <t xml:space="preserve">Price
</t>
    </r>
    <r>
      <rPr>
        <sz val="11"/>
        <color theme="1"/>
        <rFont val="Calibri"/>
        <family val="2"/>
        <scheme val="minor"/>
      </rPr>
      <t>($ to $$$$)</t>
    </r>
  </si>
  <si>
    <t>Benihana</t>
  </si>
  <si>
    <t>Beachwood</t>
  </si>
  <si>
    <t>$$</t>
  </si>
</sst>
</file>

<file path=xl/styles.xml><?xml version="1.0" encoding="utf-8"?>
<styleSheet xmlns="http://schemas.openxmlformats.org/spreadsheetml/2006/main">
  <fonts count="16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4"/>
      <name val="Calibri"/>
      <family val="2"/>
      <scheme val="minor"/>
    </font>
    <font>
      <u/>
      <sz val="11"/>
      <name val="Calibri"/>
      <family val="2"/>
      <scheme val="minor"/>
    </font>
    <font>
      <b/>
      <sz val="11"/>
      <color theme="4"/>
      <name val="Calibri"/>
      <family val="2"/>
      <scheme val="minor"/>
    </font>
    <font>
      <i/>
      <sz val="11"/>
      <color theme="4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i/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2" borderId="0" xfId="0" applyFill="1"/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1" fontId="1" fillId="2" borderId="0" xfId="0" applyNumberFormat="1" applyFont="1" applyFill="1" applyAlignment="1">
      <alignment horizontal="center"/>
    </xf>
    <xf numFmtId="0" fontId="2" fillId="2" borderId="0" xfId="0" applyFont="1" applyFill="1"/>
    <xf numFmtId="0" fontId="0" fillId="2" borderId="1" xfId="0" applyFill="1" applyBorder="1"/>
    <xf numFmtId="0" fontId="1" fillId="2" borderId="1" xfId="0" applyFont="1" applyFill="1" applyBorder="1" applyAlignment="1">
      <alignment horizontal="left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11" fillId="2" borderId="0" xfId="0" applyFont="1" applyFill="1"/>
    <xf numFmtId="0" fontId="0" fillId="2" borderId="2" xfId="0" applyFill="1" applyBorder="1"/>
    <xf numFmtId="0" fontId="0" fillId="2" borderId="3" xfId="0" applyFill="1" applyBorder="1"/>
    <xf numFmtId="0" fontId="0" fillId="2" borderId="3" xfId="0" applyFill="1" applyBorder="1" applyAlignment="1">
      <alignment horizontal="center"/>
    </xf>
    <xf numFmtId="0" fontId="0" fillId="2" borderId="4" xfId="0" applyFill="1" applyBorder="1"/>
    <xf numFmtId="0" fontId="0" fillId="2" borderId="5" xfId="0" applyFill="1" applyBorder="1"/>
    <xf numFmtId="0" fontId="0" fillId="2" borderId="0" xfId="0" applyFill="1" applyBorder="1"/>
    <xf numFmtId="0" fontId="3" fillId="2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0" fillId="2" borderId="6" xfId="0" applyFill="1" applyBorder="1"/>
    <xf numFmtId="0" fontId="1" fillId="2" borderId="0" xfId="0" applyFont="1" applyFill="1" applyBorder="1"/>
    <xf numFmtId="0" fontId="1" fillId="2" borderId="6" xfId="0" applyFont="1" applyFill="1" applyBorder="1"/>
    <xf numFmtId="0" fontId="0" fillId="2" borderId="7" xfId="0" applyFill="1" applyBorder="1"/>
    <xf numFmtId="0" fontId="1" fillId="2" borderId="8" xfId="0" applyFont="1" applyFill="1" applyBorder="1"/>
    <xf numFmtId="0" fontId="1" fillId="2" borderId="8" xfId="0" applyFont="1" applyFill="1" applyBorder="1" applyAlignment="1">
      <alignment horizontal="center"/>
    </xf>
    <xf numFmtId="0" fontId="1" fillId="2" borderId="9" xfId="0" applyFont="1" applyFill="1" applyBorder="1"/>
    <xf numFmtId="0" fontId="14" fillId="2" borderId="1" xfId="0" applyFont="1" applyFill="1" applyBorder="1" applyAlignment="1">
      <alignment horizontal="left"/>
    </xf>
    <xf numFmtId="0" fontId="0" fillId="0" borderId="0" xfId="0" applyFill="1"/>
    <xf numFmtId="0" fontId="12" fillId="3" borderId="0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3" fillId="2" borderId="0" xfId="0" applyFont="1" applyFill="1"/>
    <xf numFmtId="0" fontId="0" fillId="2" borderId="1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0" xfId="0" applyFill="1" applyBorder="1" applyAlignment="1">
      <alignment horizontal="left"/>
    </xf>
    <xf numFmtId="0" fontId="0" fillId="2" borderId="0" xfId="0" applyFill="1" applyBorder="1" applyAlignment="1">
      <alignment horizontal="left"/>
    </xf>
    <xf numFmtId="0" fontId="0" fillId="2" borderId="12" xfId="0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13" fillId="4" borderId="14" xfId="0" applyFont="1" applyFill="1" applyBorder="1" applyAlignment="1">
      <alignment horizontal="left" vertical="center"/>
    </xf>
    <xf numFmtId="0" fontId="13" fillId="4" borderId="15" xfId="0" applyFont="1" applyFill="1" applyBorder="1" applyAlignment="1">
      <alignment horizontal="left" vertical="center"/>
    </xf>
    <xf numFmtId="0" fontId="13" fillId="4" borderId="15" xfId="0" applyFont="1" applyFill="1" applyBorder="1" applyAlignment="1">
      <alignment horizontal="center" vertical="center" wrapText="1"/>
    </xf>
    <xf numFmtId="0" fontId="13" fillId="4" borderId="16" xfId="0" applyFont="1" applyFill="1" applyBorder="1" applyAlignment="1">
      <alignment horizontal="center" vertical="center" wrapText="1"/>
    </xf>
    <xf numFmtId="0" fontId="7" fillId="2" borderId="0" xfId="0" applyFont="1" applyFill="1" applyProtection="1">
      <protection locked="0"/>
    </xf>
    <xf numFmtId="0" fontId="6" fillId="2" borderId="0" xfId="0" applyFont="1" applyFill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17130159441813542"/>
          <c:y val="6.0195167911703394E-2"/>
          <c:w val="0.79536320415464057"/>
          <c:h val="0.73553987412473132"/>
        </c:manualLayout>
      </c:layout>
      <c:barChart>
        <c:barDir val="col"/>
        <c:grouping val="clustered"/>
        <c:ser>
          <c:idx val="0"/>
          <c:order val="0"/>
          <c:tx>
            <c:v>Count</c:v>
          </c:tx>
          <c:cat>
            <c:strRef>
              <c:f>Chooser!$C$6:$C$10</c:f>
              <c:strCache>
                <c:ptCount val="3"/>
                <c:pt idx="0">
                  <c:v>McDonalds</c:v>
                </c:pt>
                <c:pt idx="1">
                  <c:v>P.F. Changs</c:v>
                </c:pt>
                <c:pt idx="2">
                  <c:v>Chuck E. Cheese's</c:v>
                </c:pt>
              </c:strCache>
            </c:strRef>
          </c:cat>
          <c:val>
            <c:numRef>
              <c:f>Chooser!$D$6:$D$10</c:f>
              <c:numCache>
                <c:formatCode>General</c:formatCode>
                <c:ptCount val="5"/>
                <c:pt idx="0">
                  <c:v>25</c:v>
                </c:pt>
                <c:pt idx="1">
                  <c:v>19</c:v>
                </c:pt>
                <c:pt idx="2">
                  <c:v>21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axId val="216571264"/>
        <c:axId val="217982080"/>
      </c:barChart>
      <c:catAx>
        <c:axId val="216571264"/>
        <c:scaling>
          <c:orientation val="minMax"/>
        </c:scaling>
        <c:delete val="1"/>
        <c:axPos val="b"/>
        <c:majorTickMark val="none"/>
        <c:tickLblPos val="none"/>
        <c:crossAx val="217982080"/>
        <c:crosses val="autoZero"/>
        <c:auto val="1"/>
        <c:lblAlgn val="ctr"/>
        <c:lblOffset val="100"/>
      </c:catAx>
      <c:valAx>
        <c:axId val="217982080"/>
        <c:scaling>
          <c:orientation val="minMax"/>
        </c:scaling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numFmt formatCode="General" sourceLinked="1"/>
        <c:majorTickMark val="none"/>
        <c:tickLblPos val="nextTo"/>
        <c:crossAx val="216571264"/>
        <c:crosses val="autoZero"/>
        <c:crossBetween val="between"/>
        <c:minorUnit val="1"/>
      </c:valAx>
    </c:plotArea>
    <c:plotVisOnly val="1"/>
  </c:chart>
  <c:spPr>
    <a:noFill/>
    <a:ln>
      <a:solidFill>
        <a:schemeClr val="bg1"/>
      </a:solidFill>
    </a:ln>
  </c:spPr>
  <c:txPr>
    <a:bodyPr/>
    <a:lstStyle/>
    <a:p>
      <a:pPr>
        <a:defRPr sz="1200"/>
      </a:pPr>
      <a:endParaRPr lang="en-US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304800</xdr:colOff>
      <xdr:row>3</xdr:row>
      <xdr:rowOff>9525</xdr:rowOff>
    </xdr:from>
    <xdr:to>
      <xdr:col>19</xdr:col>
      <xdr:colOff>152400</xdr:colOff>
      <xdr:row>16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18</xdr:row>
      <xdr:rowOff>19050</xdr:rowOff>
    </xdr:from>
    <xdr:to>
      <xdr:col>20</xdr:col>
      <xdr:colOff>0</xdr:colOff>
      <xdr:row>23</xdr:row>
      <xdr:rowOff>57149</xdr:rowOff>
    </xdr:to>
    <xdr:sp macro="" textlink="">
      <xdr:nvSpPr>
        <xdr:cNvPr id="3" name="Rectangle 2"/>
        <xdr:cNvSpPr/>
      </xdr:nvSpPr>
      <xdr:spPr>
        <a:xfrm>
          <a:off x="5448300" y="3743325"/>
          <a:ext cx="6115050" cy="990599"/>
        </a:xfrm>
        <a:prstGeom prst="rect">
          <a:avLst/>
        </a:prstGeom>
        <a:ln w="1270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l"/>
          <a:r>
            <a:rPr lang="en-US" sz="1100" u="sng"/>
            <a:t>Instructions:</a:t>
          </a:r>
        </a:p>
        <a:p>
          <a:pPr algn="l"/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1. Type in dinner options</a:t>
          </a:r>
          <a:endParaRPr lang="en-US"/>
        </a:p>
        <a:p>
          <a:pPr algn="l"/>
          <a:r>
            <a:rPr lang="en-US" sz="1100" baseline="0"/>
            <a:t>2. Click "Reset results"</a:t>
          </a:r>
        </a:p>
        <a:p>
          <a:pPr algn="l"/>
          <a:r>
            <a:rPr lang="en-US" sz="1100" baseline="0"/>
            <a:t>3. Type in number of votes required to win</a:t>
          </a:r>
        </a:p>
        <a:p>
          <a:pPr algn="l"/>
          <a:r>
            <a:rPr lang="en-US" sz="1100" baseline="0"/>
            <a:t>4. Hit one vote at a time or Let's go to run the chooser!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T22"/>
  <sheetViews>
    <sheetView tabSelected="1" zoomScaleNormal="100" workbookViewId="0">
      <selection activeCell="C6" sqref="C6"/>
    </sheetView>
  </sheetViews>
  <sheetFormatPr defaultRowHeight="15"/>
  <cols>
    <col min="1" max="1" width="9.140625" style="1"/>
    <col min="2" max="2" width="3.5703125" style="2" customWidth="1"/>
    <col min="3" max="3" width="32.42578125" style="1" customWidth="1"/>
    <col min="4" max="6" width="9.140625" style="1"/>
    <col min="7" max="11" width="9.140625" style="1" hidden="1" customWidth="1"/>
    <col min="12" max="12" width="9.140625" style="1" customWidth="1"/>
    <col min="13" max="14" width="9.140625" style="1"/>
    <col min="15" max="19" width="12.85546875" style="13" customWidth="1"/>
    <col min="20" max="20" width="9.140625" style="1" customWidth="1"/>
    <col min="21" max="16384" width="9.140625" style="1"/>
  </cols>
  <sheetData>
    <row r="1" spans="2:20" ht="15.75" thickBot="1"/>
    <row r="2" spans="2:20">
      <c r="M2" s="15"/>
      <c r="N2" s="16"/>
      <c r="O2" s="17"/>
      <c r="P2" s="17"/>
      <c r="Q2" s="17"/>
      <c r="R2" s="17"/>
      <c r="S2" s="17"/>
      <c r="T2" s="18"/>
    </row>
    <row r="3" spans="2:20" ht="18.75" customHeight="1">
      <c r="B3" s="31" t="s">
        <v>0</v>
      </c>
      <c r="C3" s="8"/>
      <c r="D3" s="8"/>
      <c r="E3" s="8"/>
      <c r="F3" s="8"/>
      <c r="M3" s="19"/>
      <c r="N3" s="20"/>
      <c r="O3" s="21" t="str">
        <f>"And the winner is... "</f>
        <v xml:space="preserve">And the winner is... </v>
      </c>
      <c r="P3" s="22"/>
      <c r="Q3" s="22"/>
      <c r="R3" s="23" t="str">
        <f>IF(MAX(D6:D10)&gt;D12,INDEX(C6:C10,MATCH(MAX(D6:D10),D6:D10,0)),IF(D6=D12,C6&amp;"!!",IF(D7=D12,C7&amp;"!!",IF(D8=D12,C8&amp;"!!",IF(D9=D12,C9&amp;"!!",IF(D10=D12,C10&amp;"!!",""))))))</f>
        <v>McDonalds!!</v>
      </c>
      <c r="S3" s="22"/>
      <c r="T3" s="24"/>
    </row>
    <row r="4" spans="2:20" ht="18.75" customHeight="1">
      <c r="G4" s="5">
        <v>0</v>
      </c>
      <c r="H4" s="5">
        <v>100</v>
      </c>
      <c r="I4" s="5"/>
      <c r="J4" s="5"/>
      <c r="K4" s="4">
        <f ca="1">RAND()*100</f>
        <v>69.52293450396499</v>
      </c>
      <c r="L4" s="7"/>
      <c r="M4" s="19"/>
      <c r="N4" s="20"/>
      <c r="O4" s="22"/>
      <c r="P4" s="22"/>
      <c r="Q4" s="22"/>
      <c r="R4" s="22"/>
      <c r="S4" s="22"/>
      <c r="T4" s="24"/>
    </row>
    <row r="5" spans="2:20">
      <c r="B5" s="3" t="s">
        <v>1</v>
      </c>
      <c r="C5" s="4"/>
      <c r="D5" s="12" t="s">
        <v>7</v>
      </c>
      <c r="E5" s="4"/>
      <c r="F5" s="4"/>
      <c r="G5" s="5" t="s">
        <v>3</v>
      </c>
      <c r="H5" s="5"/>
      <c r="I5" s="5" t="s">
        <v>4</v>
      </c>
      <c r="J5" s="5"/>
      <c r="K5" s="4"/>
      <c r="L5" s="7"/>
      <c r="M5" s="19"/>
      <c r="N5" s="20"/>
      <c r="O5" s="22"/>
      <c r="P5" s="22"/>
      <c r="Q5" s="22"/>
      <c r="R5" s="22"/>
      <c r="S5" s="22"/>
      <c r="T5" s="24"/>
    </row>
    <row r="6" spans="2:20">
      <c r="B6" s="3">
        <v>1</v>
      </c>
      <c r="C6" s="47" t="s">
        <v>2</v>
      </c>
      <c r="D6" s="5">
        <v>25</v>
      </c>
      <c r="E6" s="4"/>
      <c r="F6" s="4"/>
      <c r="G6" s="6">
        <f>G4</f>
        <v>0</v>
      </c>
      <c r="H6" s="6">
        <f>IF(H5&lt;100,B6*$H$4/COUNTIFS($C$6:$C$10,"&lt;&gt;"&amp;""))</f>
        <v>33.333333333333336</v>
      </c>
      <c r="I6" s="6">
        <f>G6</f>
        <v>0</v>
      </c>
      <c r="J6" s="6">
        <f ca="1">IF(H6&lt;&gt;100,RANDBETWEEN(H6*0.95,H6*1.05),100)</f>
        <v>34</v>
      </c>
      <c r="K6" s="4" t="b">
        <f ca="1">IF(AND($K$4&gt;G6,$K$4&lt;=H6),TRUE,FALSE)</f>
        <v>0</v>
      </c>
      <c r="L6" s="7"/>
      <c r="M6" s="19"/>
      <c r="N6" s="20"/>
      <c r="O6" s="22"/>
      <c r="P6" s="22"/>
      <c r="Q6" s="22"/>
      <c r="R6" s="22"/>
      <c r="S6" s="22"/>
      <c r="T6" s="24"/>
    </row>
    <row r="7" spans="2:20">
      <c r="B7" s="3">
        <v>2</v>
      </c>
      <c r="C7" s="47" t="s">
        <v>8</v>
      </c>
      <c r="D7" s="5">
        <v>19</v>
      </c>
      <c r="E7" s="4"/>
      <c r="F7" s="4"/>
      <c r="G7" s="6">
        <f>H6</f>
        <v>33.333333333333336</v>
      </c>
      <c r="H7" s="6">
        <f t="shared" ref="H7:H10" si="0">IF(H6&lt;100,B7*$H$4/COUNTIFS($C$6:$C$10,"&lt;&gt;"&amp;""))</f>
        <v>66.666666666666671</v>
      </c>
      <c r="I7" s="6">
        <f ca="1">J6</f>
        <v>34</v>
      </c>
      <c r="J7" s="6">
        <f ca="1">IF(H7&lt;&gt;100,RANDBETWEEN(H7*0.95,H7*1.05),100)</f>
        <v>69</v>
      </c>
      <c r="K7" s="4" t="b">
        <f t="shared" ref="K7:K10" ca="1" si="1">IF(AND($K$4&gt;G7,$K$4&lt;=H7),TRUE,FALSE)</f>
        <v>0</v>
      </c>
      <c r="L7" s="7"/>
      <c r="M7" s="19"/>
      <c r="N7" s="20"/>
      <c r="O7" s="22"/>
      <c r="P7" s="22"/>
      <c r="Q7" s="22"/>
      <c r="R7" s="22"/>
      <c r="S7" s="22"/>
      <c r="T7" s="24"/>
    </row>
    <row r="8" spans="2:20">
      <c r="B8" s="3">
        <v>3</v>
      </c>
      <c r="C8" s="47" t="s">
        <v>9</v>
      </c>
      <c r="D8" s="5">
        <v>21</v>
      </c>
      <c r="E8" s="4"/>
      <c r="F8" s="4"/>
      <c r="G8" s="6">
        <f t="shared" ref="G8:G10" si="2">H7</f>
        <v>66.666666666666671</v>
      </c>
      <c r="H8" s="6">
        <f t="shared" si="0"/>
        <v>100</v>
      </c>
      <c r="I8" s="6">
        <f t="shared" ref="I8:I10" ca="1" si="3">J7</f>
        <v>69</v>
      </c>
      <c r="J8" s="6">
        <f t="shared" ref="J8:J10" ca="1" si="4">IF(H8&lt;&gt;100,RANDBETWEEN(H8*0.95,H8*1.05),100)</f>
        <v>100</v>
      </c>
      <c r="K8" s="4" t="b">
        <f t="shared" ca="1" si="1"/>
        <v>1</v>
      </c>
      <c r="L8" s="7"/>
      <c r="M8" s="19"/>
      <c r="N8" s="20"/>
      <c r="O8" s="22"/>
      <c r="P8" s="22"/>
      <c r="Q8" s="22"/>
      <c r="R8" s="22"/>
      <c r="S8" s="22"/>
      <c r="T8" s="24"/>
    </row>
    <row r="9" spans="2:20">
      <c r="B9" s="3">
        <v>4</v>
      </c>
      <c r="C9" s="47"/>
      <c r="D9" s="5">
        <v>0</v>
      </c>
      <c r="E9" s="4"/>
      <c r="F9" s="4"/>
      <c r="G9" s="6">
        <f t="shared" si="2"/>
        <v>100</v>
      </c>
      <c r="H9" s="6" t="b">
        <f t="shared" si="0"/>
        <v>0</v>
      </c>
      <c r="I9" s="6">
        <f t="shared" ca="1" si="3"/>
        <v>100</v>
      </c>
      <c r="J9" s="6">
        <f t="shared" ca="1" si="4"/>
        <v>0</v>
      </c>
      <c r="K9" s="4" t="b">
        <f t="shared" ca="1" si="1"/>
        <v>0</v>
      </c>
      <c r="L9" s="7"/>
      <c r="M9" s="19"/>
      <c r="N9" s="20"/>
      <c r="O9" s="22"/>
      <c r="P9" s="22"/>
      <c r="Q9" s="22"/>
      <c r="R9" s="22"/>
      <c r="S9" s="22"/>
      <c r="T9" s="24"/>
    </row>
    <row r="10" spans="2:20">
      <c r="B10" s="3">
        <v>5</v>
      </c>
      <c r="C10" s="47"/>
      <c r="D10" s="5">
        <v>0</v>
      </c>
      <c r="E10" s="4"/>
      <c r="F10" s="4"/>
      <c r="G10" s="6" t="b">
        <f t="shared" si="2"/>
        <v>0</v>
      </c>
      <c r="H10" s="6" t="b">
        <f t="shared" si="0"/>
        <v>0</v>
      </c>
      <c r="I10" s="6">
        <f t="shared" ca="1" si="3"/>
        <v>0</v>
      </c>
      <c r="J10" s="6">
        <f t="shared" ca="1" si="4"/>
        <v>0</v>
      </c>
      <c r="K10" s="4" t="b">
        <f t="shared" ca="1" si="1"/>
        <v>0</v>
      </c>
      <c r="L10" s="7"/>
      <c r="M10" s="19"/>
      <c r="N10" s="20"/>
      <c r="O10" s="22"/>
      <c r="P10" s="22"/>
      <c r="Q10" s="22"/>
      <c r="R10" s="22"/>
      <c r="S10" s="22"/>
      <c r="T10" s="24"/>
    </row>
    <row r="11" spans="2:20">
      <c r="B11" s="9"/>
      <c r="C11" s="10"/>
      <c r="D11" s="11"/>
      <c r="E11" s="10"/>
      <c r="F11" s="10"/>
      <c r="G11" s="4"/>
      <c r="H11" s="4"/>
      <c r="I11" s="4"/>
      <c r="J11" s="4"/>
      <c r="K11" s="4"/>
      <c r="L11" s="4"/>
      <c r="M11" s="19"/>
      <c r="N11" s="20"/>
      <c r="O11" s="22"/>
      <c r="P11" s="22"/>
      <c r="Q11" s="22"/>
      <c r="R11" s="22"/>
      <c r="S11" s="22"/>
      <c r="T11" s="24"/>
    </row>
    <row r="12" spans="2:20">
      <c r="B12" s="3" t="s">
        <v>6</v>
      </c>
      <c r="C12" s="4"/>
      <c r="D12" s="48">
        <v>25</v>
      </c>
      <c r="E12" s="4"/>
      <c r="G12" s="4"/>
      <c r="H12" s="4"/>
      <c r="I12" s="4"/>
      <c r="J12" s="4"/>
      <c r="K12" s="4"/>
      <c r="L12" s="4"/>
      <c r="M12" s="19"/>
      <c r="N12" s="20"/>
      <c r="O12" s="22"/>
      <c r="P12" s="22"/>
      <c r="Q12" s="22"/>
      <c r="R12" s="22"/>
      <c r="S12" s="22"/>
      <c r="T12" s="24"/>
    </row>
    <row r="13" spans="2:20">
      <c r="B13" s="3"/>
      <c r="C13" s="4"/>
      <c r="D13" s="5"/>
      <c r="E13" s="4"/>
      <c r="F13" s="4"/>
      <c r="G13" s="4"/>
      <c r="H13" s="4"/>
      <c r="I13" s="4"/>
      <c r="J13" s="4"/>
      <c r="K13" s="4"/>
      <c r="L13" s="4"/>
      <c r="M13" s="19"/>
      <c r="N13" s="20"/>
      <c r="O13" s="22"/>
      <c r="P13" s="22"/>
      <c r="Q13" s="22"/>
      <c r="R13" s="22"/>
      <c r="S13" s="22"/>
      <c r="T13" s="24"/>
    </row>
    <row r="14" spans="2:20">
      <c r="B14" s="3" t="s">
        <v>5</v>
      </c>
      <c r="C14" s="4"/>
      <c r="D14" s="5" t="str">
        <f ca="1">IF(SUM(D6:D10)=0,"",IF(K6=TRUE,C6,IF(K7=TRUE,C7,IF(K8=TRUE,C8,IF(K9=TRUE,C9,IF(K10=TRUE,C10,""))))))</f>
        <v>Chuck E. Cheese's</v>
      </c>
      <c r="F14" s="4"/>
      <c r="G14" s="4"/>
      <c r="H14" s="4"/>
      <c r="I14" s="4"/>
      <c r="J14" s="4"/>
      <c r="K14" s="4"/>
      <c r="L14" s="4"/>
      <c r="M14" s="19"/>
      <c r="N14" s="20"/>
      <c r="O14" s="22"/>
      <c r="P14" s="22"/>
      <c r="Q14" s="22"/>
      <c r="R14" s="22"/>
      <c r="S14" s="22"/>
      <c r="T14" s="24"/>
    </row>
    <row r="15" spans="2:20">
      <c r="M15" s="19"/>
      <c r="N15" s="20"/>
      <c r="O15" s="22"/>
      <c r="P15" s="22"/>
      <c r="Q15" s="22"/>
      <c r="R15" s="22"/>
      <c r="S15" s="22"/>
      <c r="T15" s="24"/>
    </row>
    <row r="16" spans="2:20" ht="30">
      <c r="F16" s="32"/>
      <c r="H16" s="32"/>
      <c r="M16" s="19"/>
      <c r="N16" s="25"/>
      <c r="O16" s="33" t="str">
        <f>IF(C6="","",C6)</f>
        <v>McDonalds</v>
      </c>
      <c r="P16" s="34" t="str">
        <f>IF(C7="","",C7)</f>
        <v>P.F. Changs</v>
      </c>
      <c r="Q16" s="34" t="str">
        <f>IF(C8="","",C8)</f>
        <v>Chuck E. Cheese's</v>
      </c>
      <c r="R16" s="34" t="str">
        <f>IF(C9="","",C9)</f>
        <v/>
      </c>
      <c r="S16" s="34" t="str">
        <f>IF(C10="","",C10)</f>
        <v/>
      </c>
      <c r="T16" s="26"/>
    </row>
    <row r="17" spans="13:20" ht="15" customHeight="1" thickBot="1">
      <c r="M17" s="27"/>
      <c r="N17" s="28"/>
      <c r="O17" s="29"/>
      <c r="P17" s="29"/>
      <c r="Q17" s="29"/>
      <c r="R17" s="29"/>
      <c r="S17" s="29"/>
      <c r="T17" s="30"/>
    </row>
    <row r="19" spans="13:20">
      <c r="N19" s="4"/>
      <c r="O19" s="5"/>
      <c r="P19" s="5"/>
      <c r="Q19" s="5"/>
      <c r="R19" s="5"/>
      <c r="S19" s="5"/>
      <c r="T19" s="4"/>
    </row>
    <row r="20" spans="13:20">
      <c r="N20" s="4"/>
      <c r="O20" s="5"/>
      <c r="P20" s="5"/>
      <c r="Q20" s="5"/>
      <c r="R20" s="5"/>
      <c r="S20" s="5"/>
      <c r="T20" s="4"/>
    </row>
    <row r="21" spans="13:20">
      <c r="N21" s="4"/>
      <c r="O21" s="5"/>
      <c r="P21" s="5"/>
      <c r="Q21" s="5"/>
      <c r="R21" s="5"/>
      <c r="S21" s="5"/>
      <c r="T21" s="4"/>
    </row>
    <row r="22" spans="13:20">
      <c r="M22" s="14"/>
    </row>
  </sheetData>
  <sheetProtection sheet="1" objects="1" scenarios="1" selectLockedCells="1"/>
  <customSheetViews>
    <customSheetView guid="{715887F5-DB9E-4F26-B3CE-B926D22379B2}" hiddenColumns="1"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4:Y14"/>
  <sheetViews>
    <sheetView workbookViewId="0">
      <selection activeCell="D12" sqref="D12"/>
    </sheetView>
  </sheetViews>
  <sheetFormatPr defaultRowHeight="15"/>
  <cols>
    <col min="1" max="1" width="9.140625" style="1"/>
    <col min="2" max="4" width="11.42578125" style="1" customWidth="1"/>
    <col min="5" max="6" width="8.5703125" style="1" customWidth="1"/>
    <col min="7" max="7" width="9.140625" style="1"/>
    <col min="8" max="10" width="11.42578125" style="1" customWidth="1"/>
    <col min="11" max="12" width="8.5703125" style="1" customWidth="1"/>
    <col min="13" max="13" width="9.140625" style="1"/>
    <col min="14" max="16" width="11.42578125" style="1" customWidth="1"/>
    <col min="17" max="18" width="8.5703125" style="1" customWidth="1"/>
    <col min="19" max="20" width="9.140625" style="1"/>
    <col min="21" max="23" width="11.42578125" style="1" customWidth="1"/>
    <col min="24" max="25" width="8.5703125" style="1" customWidth="1"/>
    <col min="26" max="16384" width="9.140625" style="1"/>
  </cols>
  <sheetData>
    <row r="4" spans="2:25">
      <c r="B4" s="35" t="s">
        <v>10</v>
      </c>
      <c r="H4" s="35" t="s">
        <v>11</v>
      </c>
      <c r="N4" s="35" t="s">
        <v>12</v>
      </c>
      <c r="U4" s="35" t="s">
        <v>13</v>
      </c>
    </row>
    <row r="5" spans="2:25" ht="30" customHeight="1">
      <c r="B5" s="43" t="s">
        <v>15</v>
      </c>
      <c r="C5" s="44" t="s">
        <v>16</v>
      </c>
      <c r="D5" s="45" t="s">
        <v>21</v>
      </c>
      <c r="E5" s="45" t="s">
        <v>17</v>
      </c>
      <c r="F5" s="46" t="s">
        <v>20</v>
      </c>
      <c r="H5" s="43" t="s">
        <v>15</v>
      </c>
      <c r="I5" s="44" t="s">
        <v>16</v>
      </c>
      <c r="J5" s="45" t="s">
        <v>21</v>
      </c>
      <c r="K5" s="45" t="s">
        <v>17</v>
      </c>
      <c r="L5" s="46" t="s">
        <v>20</v>
      </c>
      <c r="N5" s="43" t="s">
        <v>15</v>
      </c>
      <c r="O5" s="44" t="s">
        <v>16</v>
      </c>
      <c r="P5" s="45" t="s">
        <v>21</v>
      </c>
      <c r="Q5" s="45" t="s">
        <v>17</v>
      </c>
      <c r="R5" s="46" t="s">
        <v>20</v>
      </c>
      <c r="U5" s="43" t="s">
        <v>15</v>
      </c>
      <c r="V5" s="44" t="s">
        <v>16</v>
      </c>
      <c r="W5" s="45" t="s">
        <v>21</v>
      </c>
      <c r="X5" s="45" t="s">
        <v>17</v>
      </c>
      <c r="Y5" s="46" t="s">
        <v>20</v>
      </c>
    </row>
    <row r="6" spans="2:25">
      <c r="B6" s="39" t="s">
        <v>14</v>
      </c>
      <c r="C6" s="40" t="s">
        <v>18</v>
      </c>
      <c r="D6" s="22" t="s">
        <v>19</v>
      </c>
      <c r="E6" s="22">
        <v>4</v>
      </c>
      <c r="F6" s="36">
        <v>5</v>
      </c>
      <c r="H6" s="39" t="s">
        <v>14</v>
      </c>
      <c r="I6" s="40" t="s">
        <v>18</v>
      </c>
      <c r="J6" s="22" t="s">
        <v>19</v>
      </c>
      <c r="K6" s="22">
        <v>4</v>
      </c>
      <c r="L6" s="36">
        <v>5</v>
      </c>
      <c r="N6" s="39" t="s">
        <v>14</v>
      </c>
      <c r="O6" s="40" t="s">
        <v>18</v>
      </c>
      <c r="P6" s="22" t="s">
        <v>19</v>
      </c>
      <c r="Q6" s="22">
        <v>4</v>
      </c>
      <c r="R6" s="36">
        <v>5</v>
      </c>
      <c r="U6" s="39" t="s">
        <v>14</v>
      </c>
      <c r="V6" s="40" t="s">
        <v>18</v>
      </c>
      <c r="W6" s="22" t="s">
        <v>19</v>
      </c>
      <c r="X6" s="22">
        <v>4</v>
      </c>
      <c r="Y6" s="36">
        <v>5</v>
      </c>
    </row>
    <row r="7" spans="2:25">
      <c r="B7" s="39" t="s">
        <v>22</v>
      </c>
      <c r="C7" s="40" t="s">
        <v>23</v>
      </c>
      <c r="D7" s="22" t="s">
        <v>24</v>
      </c>
      <c r="E7" s="22"/>
      <c r="F7" s="36"/>
      <c r="H7" s="39"/>
      <c r="I7" s="40"/>
      <c r="J7" s="22"/>
      <c r="K7" s="22"/>
      <c r="L7" s="36"/>
      <c r="N7" s="39"/>
      <c r="O7" s="40"/>
      <c r="P7" s="22"/>
      <c r="Q7" s="22"/>
      <c r="R7" s="36"/>
      <c r="U7" s="39"/>
      <c r="V7" s="40"/>
      <c r="W7" s="22"/>
      <c r="X7" s="22"/>
      <c r="Y7" s="36"/>
    </row>
    <row r="8" spans="2:25">
      <c r="B8" s="39" t="s">
        <v>8</v>
      </c>
      <c r="C8" s="40" t="s">
        <v>23</v>
      </c>
      <c r="D8" s="22" t="s">
        <v>24</v>
      </c>
      <c r="E8" s="22"/>
      <c r="F8" s="36"/>
      <c r="H8" s="39"/>
      <c r="I8" s="40"/>
      <c r="J8" s="22"/>
      <c r="K8" s="22"/>
      <c r="L8" s="36"/>
      <c r="N8" s="39"/>
      <c r="O8" s="40"/>
      <c r="P8" s="22"/>
      <c r="Q8" s="22"/>
      <c r="R8" s="36"/>
      <c r="U8" s="39"/>
      <c r="V8" s="40"/>
      <c r="W8" s="22"/>
      <c r="X8" s="22"/>
      <c r="Y8" s="36"/>
    </row>
    <row r="9" spans="2:25">
      <c r="B9" s="39"/>
      <c r="C9" s="40"/>
      <c r="D9" s="22"/>
      <c r="E9" s="22"/>
      <c r="F9" s="36"/>
      <c r="H9" s="39"/>
      <c r="I9" s="40"/>
      <c r="J9" s="22"/>
      <c r="K9" s="22"/>
      <c r="L9" s="36"/>
      <c r="N9" s="39"/>
      <c r="O9" s="40"/>
      <c r="P9" s="22"/>
      <c r="Q9" s="22"/>
      <c r="R9" s="36"/>
      <c r="U9" s="39"/>
      <c r="V9" s="40"/>
      <c r="W9" s="22"/>
      <c r="X9" s="22"/>
      <c r="Y9" s="36"/>
    </row>
    <row r="10" spans="2:25">
      <c r="B10" s="39"/>
      <c r="C10" s="40"/>
      <c r="D10" s="22"/>
      <c r="E10" s="22"/>
      <c r="F10" s="36"/>
      <c r="H10" s="39"/>
      <c r="I10" s="40"/>
      <c r="J10" s="22"/>
      <c r="K10" s="22"/>
      <c r="L10" s="36"/>
      <c r="N10" s="39"/>
      <c r="O10" s="40"/>
      <c r="P10" s="22"/>
      <c r="Q10" s="22"/>
      <c r="R10" s="36"/>
      <c r="U10" s="39"/>
      <c r="V10" s="40"/>
      <c r="W10" s="22"/>
      <c r="X10" s="22"/>
      <c r="Y10" s="36"/>
    </row>
    <row r="11" spans="2:25">
      <c r="B11" s="39"/>
      <c r="C11" s="40"/>
      <c r="D11" s="22"/>
      <c r="E11" s="22"/>
      <c r="F11" s="36"/>
      <c r="H11" s="39"/>
      <c r="I11" s="40"/>
      <c r="J11" s="22"/>
      <c r="K11" s="22"/>
      <c r="L11" s="36"/>
      <c r="N11" s="39"/>
      <c r="O11" s="40"/>
      <c r="P11" s="22"/>
      <c r="Q11" s="22"/>
      <c r="R11" s="36"/>
      <c r="U11" s="39"/>
      <c r="V11" s="40"/>
      <c r="W11" s="22"/>
      <c r="X11" s="22"/>
      <c r="Y11" s="36"/>
    </row>
    <row r="12" spans="2:25">
      <c r="B12" s="39"/>
      <c r="C12" s="40"/>
      <c r="D12" s="22"/>
      <c r="E12" s="22"/>
      <c r="F12" s="36"/>
      <c r="H12" s="39"/>
      <c r="I12" s="40"/>
      <c r="J12" s="22"/>
      <c r="K12" s="22"/>
      <c r="L12" s="36"/>
      <c r="N12" s="39"/>
      <c r="O12" s="40"/>
      <c r="P12" s="22"/>
      <c r="Q12" s="22"/>
      <c r="R12" s="36"/>
      <c r="U12" s="39"/>
      <c r="V12" s="40"/>
      <c r="W12" s="22"/>
      <c r="X12" s="22"/>
      <c r="Y12" s="36"/>
    </row>
    <row r="13" spans="2:25">
      <c r="B13" s="39"/>
      <c r="C13" s="40"/>
      <c r="D13" s="22"/>
      <c r="E13" s="22"/>
      <c r="F13" s="36"/>
      <c r="H13" s="39"/>
      <c r="I13" s="40"/>
      <c r="J13" s="22"/>
      <c r="K13" s="22"/>
      <c r="L13" s="36"/>
      <c r="N13" s="39"/>
      <c r="O13" s="40"/>
      <c r="P13" s="22"/>
      <c r="Q13" s="22"/>
      <c r="R13" s="36"/>
      <c r="U13" s="39"/>
      <c r="V13" s="40"/>
      <c r="W13" s="22"/>
      <c r="X13" s="22"/>
      <c r="Y13" s="36"/>
    </row>
    <row r="14" spans="2:25">
      <c r="B14" s="41"/>
      <c r="C14" s="42"/>
      <c r="D14" s="37"/>
      <c r="E14" s="37"/>
      <c r="F14" s="38"/>
      <c r="H14" s="41"/>
      <c r="I14" s="42"/>
      <c r="J14" s="37"/>
      <c r="K14" s="37"/>
      <c r="L14" s="38"/>
      <c r="N14" s="41"/>
      <c r="O14" s="42"/>
      <c r="P14" s="37"/>
      <c r="Q14" s="37"/>
      <c r="R14" s="38"/>
      <c r="U14" s="41"/>
      <c r="V14" s="42"/>
      <c r="W14" s="37"/>
      <c r="X14" s="37"/>
      <c r="Y14" s="3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Chooser</vt:lpstr>
      <vt:lpstr>Restaurant Lists</vt:lpstr>
    </vt:vector>
  </TitlesOfParts>
  <Company>The Boston Consulting Group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 Daniel</dc:creator>
  <cp:lastModifiedBy>Li Daniel</cp:lastModifiedBy>
  <dcterms:created xsi:type="dcterms:W3CDTF">2014-10-30T21:28:18Z</dcterms:created>
  <dcterms:modified xsi:type="dcterms:W3CDTF">2014-10-31T23:44:43Z</dcterms:modified>
</cp:coreProperties>
</file>